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pacity Calculation" sheetId="2" state="visible" r:id="rId2"/>
    <sheet xmlns:r="http://schemas.openxmlformats.org/officeDocument/2006/relationships" name="Growth Projectio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6"/>
    </font>
    <font>
      <name val="Arial"/>
      <charset val="1"/>
      <family val="0"/>
      <i val="1"/>
      <color rgb="FF5B657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7E6"/>
        <bgColor rgb="FFFFFFFF"/>
      </patternFill>
    </fill>
    <fill>
      <patternFill patternType="solid">
        <fgColor rgb="FFEAF0FB"/>
        <bgColor rgb="FFFFF7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2" fontId="8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2" fontId="8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15" min="1" max="1"/>
    <col width="14" customWidth="1" style="15" min="2" max="2"/>
    <col width="22" customWidth="1" style="15" min="3" max="3"/>
  </cols>
  <sheetData>
    <row r="1" ht="19.7" customHeight="1" s="16">
      <c r="A1" s="17" t="inlineStr">
        <is>
          <t>AI Calling Agent — Capacity Planning</t>
        </is>
      </c>
    </row>
    <row r="2" ht="15" customHeight="1" s="16">
      <c r="A2" s="18" t="inlineStr">
        <is>
          <t>Assumptions v1.0 · Edit yellow cells only. Mirrors Cost-Model.xlsx volume assumptions where applicable. This is the project's CANONICAL capacity baseline (see Data-Privacy/Architecture docs) — any illustrative stress-test scenario elsewhere (e.g. Scalable Production Approach §16) is explicitly labelled as non-baseline and must not be read as overriding these figures.</t>
        </is>
      </c>
    </row>
    <row r="4" ht="19.5" customHeight="1" s="16">
      <c r="A4" s="19" t="inlineStr">
        <is>
          <t>Volume &amp; Call Behavior</t>
        </is>
      </c>
      <c r="B4" s="20" t="n"/>
      <c r="C4" s="20" t="n"/>
    </row>
    <row r="5" ht="15" customHeight="1" s="16">
      <c r="A5" s="21" t="inlineStr">
        <is>
          <t>Assumption</t>
        </is>
      </c>
      <c r="B5" s="21" t="inlineStr">
        <is>
          <t>Value</t>
        </is>
      </c>
      <c r="C5" s="21" t="inlineStr">
        <is>
          <t>Unit</t>
        </is>
      </c>
    </row>
    <row r="6" ht="15" customHeight="1" s="16">
      <c r="A6" s="22" t="inlineStr">
        <is>
          <t>Monthly contact volume</t>
        </is>
      </c>
      <c r="B6" s="23" t="n">
        <v>100000</v>
      </c>
      <c r="C6" s="18" t="inlineStr">
        <is>
          <t>contacts</t>
        </is>
      </c>
    </row>
    <row r="7" ht="15" customHeight="1" s="16">
      <c r="A7" s="22" t="inlineStr">
        <is>
          <t>Connect rate (contacts eventually connected)</t>
        </is>
      </c>
      <c r="B7" s="24" t="n">
        <v>0.35</v>
      </c>
      <c r="C7" s="18" t="inlineStr">
        <is>
          <t>% of contacts</t>
        </is>
      </c>
    </row>
    <row r="8" ht="15" customHeight="1" s="16">
      <c r="A8" s="22" t="inlineStr">
        <is>
          <t>Avg connected call duration</t>
        </is>
      </c>
      <c r="B8" s="23" t="n">
        <v>3.5</v>
      </c>
      <c r="C8" s="18" t="inlineStr">
        <is>
          <t>minutes</t>
        </is>
      </c>
    </row>
    <row r="9" ht="15" customHeight="1" s="16">
      <c r="A9" s="22" t="inlineStr">
        <is>
          <t>Disconnect rate (of connected calls)</t>
        </is>
      </c>
      <c r="B9" s="24" t="n">
        <v>0.12</v>
      </c>
      <c r="C9" s="18" t="inlineStr">
        <is>
          <t>% of connected calls</t>
        </is>
      </c>
    </row>
    <row r="10" ht="15" customHeight="1" s="16">
      <c r="A10" s="22" t="inlineStr">
        <is>
          <t>Reconnect success rate (of disconnects)</t>
        </is>
      </c>
      <c r="B10" s="24" t="n">
        <v>0.7</v>
      </c>
      <c r="C10" s="18" t="inlineStr">
        <is>
          <t>% of disconnects</t>
        </is>
      </c>
    </row>
    <row r="11" ht="15" customHeight="1" s="16">
      <c r="A11" s="22" t="inlineStr">
        <is>
          <t>Avg additional minutes per reconnected call</t>
        </is>
      </c>
      <c r="B11" s="23" t="n">
        <v>1.5</v>
      </c>
      <c r="C11" s="18" t="inlineStr">
        <is>
          <t>minutes</t>
        </is>
      </c>
    </row>
    <row r="12" ht="15" customHeight="1" s="16">
      <c r="A12" s="22" t="inlineStr">
        <is>
          <t>Operating hours per day (calling window)</t>
        </is>
      </c>
      <c r="B12" s="23" t="n">
        <v>8</v>
      </c>
      <c r="C12" s="18" t="inlineStr">
        <is>
          <t>hours/day</t>
        </is>
      </c>
    </row>
    <row r="13" ht="15" customHeight="1" s="16">
      <c r="A13" s="22" t="inlineStr">
        <is>
          <t>Operating days per month</t>
        </is>
      </c>
      <c r="B13" s="23" t="n">
        <v>22</v>
      </c>
      <c r="C13" s="18" t="inlineStr">
        <is>
          <t>days/month</t>
        </is>
      </c>
    </row>
    <row r="14" ht="15" customHeight="1" s="16">
      <c r="A14" s="22" t="inlineStr">
        <is>
          <t>Peak-to-average concurrency factor</t>
        </is>
      </c>
      <c r="B14" s="23" t="n">
        <v>1.8</v>
      </c>
      <c r="C14" s="18" t="inlineStr">
        <is>
          <t>x avg</t>
        </is>
      </c>
    </row>
    <row r="16" ht="19.5" customHeight="1" s="16">
      <c r="A16" s="19" t="inlineStr">
        <is>
          <t>Per-Unit Capacity</t>
        </is>
      </c>
      <c r="B16" s="20" t="n"/>
      <c r="C16" s="20" t="n"/>
    </row>
    <row r="17" ht="15" customHeight="1" s="16">
      <c r="A17" s="21" t="inlineStr">
        <is>
          <t>Assumption</t>
        </is>
      </c>
      <c r="B17" s="21" t="inlineStr">
        <is>
          <t>Value</t>
        </is>
      </c>
      <c r="C17" s="21" t="inlineStr">
        <is>
          <t>Unit</t>
        </is>
      </c>
    </row>
    <row r="18" ht="15" customHeight="1" s="16">
      <c r="A18" s="22" t="inlineStr">
        <is>
          <t>Max concurrent calls per Orchestrator pod</t>
        </is>
      </c>
      <c r="B18" s="23" t="n">
        <v>25</v>
      </c>
      <c r="C18" s="18" t="inlineStr">
        <is>
          <t>calls/pod</t>
        </is>
      </c>
    </row>
    <row r="19" ht="15" customHeight="1" s="16">
      <c r="A19" s="22" t="inlineStr">
        <is>
          <t>Orchestrator pod headroom margin</t>
        </is>
      </c>
      <c r="B19" s="24" t="n">
        <v>0.2</v>
      </c>
      <c r="C19" s="18" t="inlineStr">
        <is>
          <t>% extra capacity</t>
        </is>
      </c>
    </row>
    <row r="20" ht="15" customHeight="1" s="16">
      <c r="A20" s="22" t="inlineStr">
        <is>
          <t>Max dial dispatch rate per Queue Worker</t>
        </is>
      </c>
      <c r="B20" s="23" t="n">
        <v>5</v>
      </c>
      <c r="C20" s="18" t="inlineStr">
        <is>
          <t>calls/sec/worker</t>
        </is>
      </c>
    </row>
    <row r="21" ht="15" customHeight="1" s="16">
      <c r="A21" s="22" t="inlineStr">
        <is>
          <t>DB connections used per service instance</t>
        </is>
      </c>
      <c r="B21" s="23" t="n">
        <v>10</v>
      </c>
      <c r="C21" s="18" t="inlineStr">
        <is>
          <t>connections</t>
        </is>
      </c>
    </row>
    <row r="22" ht="15" customHeight="1" s="16">
      <c r="A22" s="22" t="inlineStr">
        <is>
          <t>Object storage write throughput per instance</t>
        </is>
      </c>
      <c r="B22" s="23" t="n">
        <v>50</v>
      </c>
      <c r="C22" s="18" t="inlineStr">
        <is>
          <t>MB/sec</t>
        </is>
      </c>
    </row>
    <row r="24" ht="19.5" customHeight="1" s="16">
      <c r="A24" s="19" t="inlineStr">
        <is>
          <t>Storage &amp; Growth</t>
        </is>
      </c>
      <c r="B24" s="20" t="n"/>
      <c r="C24" s="20" t="n"/>
    </row>
    <row r="25" ht="15" customHeight="1" s="16">
      <c r="A25" s="21" t="inlineStr">
        <is>
          <t>Assumption</t>
        </is>
      </c>
      <c r="B25" s="21" t="inlineStr">
        <is>
          <t>Value</t>
        </is>
      </c>
      <c r="C25" s="21" t="inlineStr">
        <is>
          <t>Unit</t>
        </is>
      </c>
    </row>
    <row r="26" ht="15" customHeight="1" s="16">
      <c r="A26" s="22" t="inlineStr">
        <is>
          <t>Avg recording size per minute of audio</t>
        </is>
      </c>
      <c r="B26" s="23" t="n">
        <v>1</v>
      </c>
      <c r="C26" s="18" t="inlineStr">
        <is>
          <t>MB/min</t>
        </is>
      </c>
    </row>
    <row r="27" ht="15" customHeight="1" s="16">
      <c r="A27" s="22" t="inlineStr">
        <is>
          <t>Retention period</t>
        </is>
      </c>
      <c r="B27" s="23" t="n">
        <v>6</v>
      </c>
      <c r="C27" s="18" t="inlineStr">
        <is>
          <t>months</t>
        </is>
      </c>
    </row>
    <row r="28" ht="15" customHeight="1" s="16">
      <c r="A28" s="22" t="inlineStr">
        <is>
          <t>Month-over-month volume growth rate</t>
        </is>
      </c>
      <c r="B28" s="24" t="n">
        <v>0.08</v>
      </c>
      <c r="C28" s="18" t="inlineStr">
        <is>
          <t>% growth/month</t>
        </is>
      </c>
    </row>
    <row r="29" ht="15" customHeight="1" s="16">
      <c r="A29" s="22" t="inlineStr">
        <is>
          <t>Projection horizon</t>
        </is>
      </c>
      <c r="B29" s="23" t="n">
        <v>12</v>
      </c>
      <c r="C29" s="18" t="inlineStr">
        <is>
          <t>months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5" min="1" max="1"/>
    <col width="16" customWidth="1" style="15" min="2" max="2"/>
    <col width="46" customWidth="1" style="15" min="3" max="3"/>
  </cols>
  <sheetData>
    <row r="1" ht="19.7" customHeight="1" s="16">
      <c r="A1" s="17" t="inlineStr">
        <is>
          <t>Capacity Sizing</t>
        </is>
      </c>
    </row>
    <row r="2" ht="15" customHeight="1" s="16">
      <c r="A2" s="18" t="inlineStr">
        <is>
          <t>Live formulas referencing Assumptions. Concurrency uses Little's Law (concurrency = arrival rate x avg handling time).</t>
        </is>
      </c>
    </row>
    <row r="4" ht="19.5" customHeight="1" s="16">
      <c r="A4" s="19" t="inlineStr">
        <is>
          <t>Call Volume &amp; Arrival Rate</t>
        </is>
      </c>
      <c r="B4" s="20" t="n"/>
      <c r="C4" s="20" t="n"/>
    </row>
    <row r="5" ht="15" customHeight="1" s="16">
      <c r="A5" s="21" t="inlineStr">
        <is>
          <t>Metric</t>
        </is>
      </c>
      <c r="B5" s="21" t="inlineStr">
        <is>
          <t>Value</t>
        </is>
      </c>
      <c r="C5" s="21" t="inlineStr">
        <is>
          <t>Formula reference</t>
        </is>
      </c>
    </row>
    <row r="6" ht="15" customHeight="1" s="16">
      <c r="A6" s="22" t="inlineStr">
        <is>
          <t>Connected calls per month</t>
        </is>
      </c>
      <c r="B6" s="25">
        <f>Assumptions!B6*Assumptions!B7</f>
        <v/>
      </c>
      <c r="C6" s="18" t="inlineStr">
        <is>
          <t>Contacts x connect rate</t>
        </is>
      </c>
    </row>
    <row r="7" ht="15" customHeight="1" s="16">
      <c r="A7" s="22" t="inlineStr">
        <is>
          <t>Reconnected calls per month</t>
        </is>
      </c>
      <c r="B7" s="25">
        <f>B6*Assumptions!B9*Assumptions!B10</f>
        <v/>
      </c>
      <c r="C7" s="18" t="inlineStr">
        <is>
          <t>Connected x disconnect rate x reconnect rate</t>
        </is>
      </c>
    </row>
    <row r="8" ht="15" customHeight="1" s="16">
      <c r="A8" s="22" t="inlineStr">
        <is>
          <t>Total connected minutes per month</t>
        </is>
      </c>
      <c r="B8" s="25">
        <f>B6*Assumptions!B8+B7*Assumptions!B11</f>
        <v/>
      </c>
      <c r="C8" s="18" t="inlineStr">
        <is>
          <t>Base + reconnect-resumed minutes</t>
        </is>
      </c>
    </row>
    <row r="9" ht="15" customHeight="1" s="16">
      <c r="A9" s="22" t="inlineStr">
        <is>
          <t>Operating hours per month</t>
        </is>
      </c>
      <c r="B9" s="25">
        <f>Assumptions!B12*Assumptions!B13</f>
        <v/>
      </c>
      <c r="C9" s="18" t="inlineStr">
        <is>
          <t>Hours/day x days/month</t>
        </is>
      </c>
    </row>
    <row r="10" ht="15" customHeight="1" s="16">
      <c r="A10" s="22" t="inlineStr">
        <is>
          <t>Call arrival rate (calls dispatched/hour, avg)</t>
        </is>
      </c>
      <c r="B10" s="26">
        <f>B6/B9</f>
        <v/>
      </c>
      <c r="C10" s="18" t="inlineStr">
        <is>
          <t>Connected calls / operating hours</t>
        </is>
      </c>
    </row>
    <row r="11" ht="15" customHeight="1" s="16">
      <c r="A11" s="22" t="inlineStr">
        <is>
          <t>Dial dispatch rate needed (calls/sec, avg)</t>
        </is>
      </c>
      <c r="B11" s="27">
        <f>Assumptions!B6/(B9*3600)</f>
        <v/>
      </c>
      <c r="C11" s="18" t="inlineStr">
        <is>
          <t>Total dial attempts (approx. via contacts) / operating seconds</t>
        </is>
      </c>
    </row>
    <row r="13" ht="19.5" customHeight="1" s="16">
      <c r="A13" s="19" t="inlineStr">
        <is>
          <t>Concurrency (Little's Law)</t>
        </is>
      </c>
      <c r="B13" s="20" t="n"/>
      <c r="C13" s="20" t="n"/>
    </row>
    <row r="14" ht="15" customHeight="1" s="16">
      <c r="A14" s="21" t="inlineStr">
        <is>
          <t>Metric</t>
        </is>
      </c>
      <c r="B14" s="21" t="inlineStr">
        <is>
          <t>Value</t>
        </is>
      </c>
      <c r="C14" s="21" t="inlineStr">
        <is>
          <t>Formula reference</t>
        </is>
      </c>
    </row>
    <row r="15" ht="15" customHeight="1" s="16">
      <c r="A15" s="22" t="inlineStr">
        <is>
          <t>Avg concurrent calls (Erlangs)</t>
        </is>
      </c>
      <c r="B15" s="26">
        <f>B10*(Assumptions!B8/60)</f>
        <v/>
      </c>
      <c r="C15" s="18" t="inlineStr">
        <is>
          <t>Arrival rate (calls/hr) x avg handling time (hrs)</t>
        </is>
      </c>
    </row>
    <row r="16" ht="15" customHeight="1" s="16">
      <c r="A16" s="22" t="inlineStr">
        <is>
          <t>Peak concurrent calls</t>
        </is>
      </c>
      <c r="B16" s="26">
        <f>B15*Assumptions!B14</f>
        <v/>
      </c>
      <c r="C16" s="18" t="inlineStr">
        <is>
          <t>Avg concurrency x peak-to-average factor</t>
        </is>
      </c>
    </row>
    <row r="18" ht="19.5" customHeight="1" s="16">
      <c r="A18" s="19" t="inlineStr">
        <is>
          <t>Orchestrator Pod Sizing</t>
        </is>
      </c>
      <c r="B18" s="20" t="n"/>
      <c r="C18" s="20" t="n"/>
    </row>
    <row r="19" ht="15" customHeight="1" s="16">
      <c r="A19" s="21" t="inlineStr">
        <is>
          <t>Metric</t>
        </is>
      </c>
      <c r="B19" s="21" t="inlineStr">
        <is>
          <t>Value</t>
        </is>
      </c>
      <c r="C19" s="21" t="inlineStr">
        <is>
          <t>Formula reference</t>
        </is>
      </c>
    </row>
    <row r="20" ht="15" customHeight="1" s="16">
      <c r="A20" s="22" t="inlineStr">
        <is>
          <t>Pods required at peak (before headroom)</t>
        </is>
      </c>
      <c r="B20" s="25">
        <f>ROUNDUP(B16/Assumptions!B18,0)</f>
        <v/>
      </c>
      <c r="C20" s="18" t="inlineStr">
        <is>
          <t>Peak concurrency / capacity per pod, rounded up</t>
        </is>
      </c>
    </row>
    <row r="21" ht="15" customHeight="1" s="16">
      <c r="A21" s="22" t="inlineStr">
        <is>
          <t>Pods required (with headroom margin)</t>
        </is>
      </c>
      <c r="B21" s="25">
        <f>ROUNDUP(B20*(1+Assumptions!B19),0)</f>
        <v/>
      </c>
      <c r="C21" s="18" t="inlineStr">
        <is>
          <t>Base pods x (1 + headroom %)</t>
        </is>
      </c>
    </row>
    <row r="23" ht="19.5" customHeight="1" s="16">
      <c r="A23" s="19" t="inlineStr">
        <is>
          <t>Queue Worker Sizing</t>
        </is>
      </c>
      <c r="B23" s="20" t="n"/>
      <c r="C23" s="20" t="n"/>
    </row>
    <row r="24" ht="15" customHeight="1" s="16">
      <c r="A24" s="21" t="inlineStr">
        <is>
          <t>Metric</t>
        </is>
      </c>
      <c r="B24" s="21" t="inlineStr">
        <is>
          <t>Value</t>
        </is>
      </c>
      <c r="C24" s="21" t="inlineStr">
        <is>
          <t>Formula reference</t>
        </is>
      </c>
    </row>
    <row r="25" ht="15" customHeight="1" s="16">
      <c r="A25" s="22" t="inlineStr">
        <is>
          <t>Queue Workers required</t>
        </is>
      </c>
      <c r="B25" s="25">
        <f>ROUNDUP(B11/Assumptions!B20,0)</f>
        <v/>
      </c>
      <c r="C25" s="18" t="inlineStr">
        <is>
          <t>Dispatch rate needed / throughput per worker, rounded up</t>
        </is>
      </c>
    </row>
    <row r="27" ht="19.5" customHeight="1" s="16">
      <c r="A27" s="19" t="inlineStr">
        <is>
          <t>Database &amp; Storage Sizing</t>
        </is>
      </c>
      <c r="B27" s="20" t="n"/>
      <c r="C27" s="20" t="n"/>
    </row>
    <row r="28" ht="15" customHeight="1" s="16">
      <c r="A28" s="21" t="inlineStr">
        <is>
          <t>Metric</t>
        </is>
      </c>
      <c r="B28" s="21" t="inlineStr">
        <is>
          <t>Value</t>
        </is>
      </c>
      <c r="C28" s="21" t="inlineStr">
        <is>
          <t>Formula reference</t>
        </is>
      </c>
    </row>
    <row r="29" ht="15" customHeight="1" s="16">
      <c r="A29" s="22" t="inlineStr">
        <is>
          <t>DB connections required (Orchestrator + Queue Workers)</t>
        </is>
      </c>
      <c r="B29" s="25">
        <f>(B21+B25)*Assumptions!B21</f>
        <v/>
      </c>
      <c r="C29" s="18" t="inlineStr">
        <is>
          <t>(Pods + workers) x connections/instance</t>
        </is>
      </c>
    </row>
    <row r="30" ht="15" customHeight="1" s="16">
      <c r="A30" s="22" t="inlineStr">
        <is>
          <t>Monthly recording data generated (GB)</t>
        </is>
      </c>
      <c r="B30" s="25">
        <f>B8*Assumptions!B26/1024</f>
        <v/>
      </c>
      <c r="C30" s="18" t="inlineStr">
        <is>
          <t>Total minutes x MB/min / 1024</t>
        </is>
      </c>
    </row>
    <row r="31" ht="15" customHeight="1" s="16">
      <c r="A31" s="22" t="inlineStr">
        <is>
          <t>Storage required at steady-state retention (GB)</t>
        </is>
      </c>
      <c r="B31" s="25">
        <f>B30*Assumptions!B27</f>
        <v/>
      </c>
      <c r="C31" s="18" t="inlineStr">
        <is>
          <t>Monthly GB x retention months</t>
        </is>
      </c>
    </row>
    <row r="32" ht="15" customHeight="1" s="16">
      <c r="A32" s="22" t="inlineStr">
        <is>
          <t>Peak write throughput needed (MB/sec)</t>
        </is>
      </c>
      <c r="B32" s="27">
        <f>(B30*1024)/(B9*3600)*Assumptions!B14</f>
        <v/>
      </c>
      <c r="C32" s="18" t="inlineStr">
        <is>
          <t>Monthly MB / operating seconds x peak factor</t>
        </is>
      </c>
    </row>
    <row r="33" ht="15" customHeight="1" s="16">
      <c r="A33" s="22" t="inlineStr">
        <is>
          <t>Storage instances required for write throughput</t>
        </is>
      </c>
      <c r="B33" s="25">
        <f>ROUNDUP(B32/Assumptions!B22,0)</f>
        <v/>
      </c>
      <c r="C33" s="18" t="inlineStr">
        <is>
          <t>Peak throughput / throughput per instance, rounded up</t>
        </is>
      </c>
    </row>
    <row r="35" ht="15" customHeight="1" s="16">
      <c r="A35" s="19" t="inlineStr">
        <is>
          <t>CURRENT-STATE CAPACITY SUMMARY</t>
        </is>
      </c>
      <c r="B35" s="20" t="n"/>
      <c r="C35" s="20" t="n"/>
    </row>
    <row r="36" ht="15" customHeight="1" s="16">
      <c r="A36" s="22" t="inlineStr">
        <is>
          <t>Orchestrator pods needed</t>
        </is>
      </c>
      <c r="B36" s="25">
        <f>B21</f>
        <v/>
      </c>
      <c r="C36" s="18" t="n"/>
    </row>
    <row r="37" ht="15" customHeight="1" s="16">
      <c r="A37" s="22" t="inlineStr">
        <is>
          <t>Queue Workers needed</t>
        </is>
      </c>
      <c r="B37" s="25">
        <f>B25</f>
        <v/>
      </c>
      <c r="C37" s="18" t="n"/>
    </row>
    <row r="38" ht="15" customHeight="1" s="16">
      <c r="A38" s="22" t="inlineStr">
        <is>
          <t>DB connection pool size</t>
        </is>
      </c>
      <c r="B38" s="25">
        <f>B29</f>
        <v/>
      </c>
      <c r="C38" s="18" t="n"/>
    </row>
    <row r="39" ht="15" customHeight="1" s="16">
      <c r="A39" s="22" t="inlineStr">
        <is>
          <t>Storage capacity needed (GB)</t>
        </is>
      </c>
      <c r="B39" s="25">
        <f>B31</f>
        <v/>
      </c>
      <c r="C39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5" min="1" max="1"/>
    <col width="16" customWidth="1" style="15" min="2" max="9"/>
  </cols>
  <sheetData>
    <row r="1" ht="19.7" customHeight="1" s="16">
      <c r="A1" s="17" t="inlineStr">
        <is>
          <t>12-Month Capacity Roadmap</t>
        </is>
      </c>
    </row>
    <row r="2" ht="15" customHeight="1" s="16">
      <c r="A2" s="18" t="inlineStr">
        <is>
          <t>Projects required infrastructure as monthly volume grows at the assumed month-over-month rate.</t>
        </is>
      </c>
    </row>
    <row r="4" ht="26.85" customHeight="1" s="16">
      <c r="A4" s="21" t="inlineStr">
        <is>
          <t>Month</t>
        </is>
      </c>
      <c r="B4" s="21" t="inlineStr">
        <is>
          <t>Projected Volume</t>
        </is>
      </c>
      <c r="C4" s="21" t="inlineStr">
        <is>
          <t>Connected Calls</t>
        </is>
      </c>
      <c r="D4" s="21" t="inlineStr">
        <is>
          <t>Avg Concurrency</t>
        </is>
      </c>
      <c r="E4" s="21" t="inlineStr">
        <is>
          <t>Peak Concurrency</t>
        </is>
      </c>
      <c r="F4" s="21" t="inlineStr">
        <is>
          <t>Pods Needed</t>
        </is>
      </c>
      <c r="G4" s="21" t="inlineStr">
        <is>
          <t>Queue Workers Needed</t>
        </is>
      </c>
      <c r="H4" s="21" t="inlineStr">
        <is>
          <t>Monthly Recording GB</t>
        </is>
      </c>
      <c r="I4" s="21" t="inlineStr">
        <is>
          <t>Cumulative Storage (GB)</t>
        </is>
      </c>
    </row>
    <row r="5" ht="15" customHeight="1" s="16">
      <c r="A5" s="23" t="inlineStr">
        <is>
          <t>Month 0 (baseline)</t>
        </is>
      </c>
      <c r="B5" s="28">
        <f>Assumptions!B6*(1+Assumptions!B28)^0</f>
        <v/>
      </c>
      <c r="C5" s="28">
        <f>B5*Assumptions!B7</f>
        <v/>
      </c>
      <c r="D5" s="29">
        <f>(C5/(Assumptions!B12*Assumptions!B13))*(Assumptions!B8/60)</f>
        <v/>
      </c>
      <c r="E5" s="29">
        <f>D5*Assumptions!B14</f>
        <v/>
      </c>
      <c r="F5" s="28">
        <f>ROUNDUP((E5/Assumptions!B18)*(1+Assumptions!B19),0)</f>
        <v/>
      </c>
      <c r="G5" s="28">
        <f>ROUNDUP((B5/((Assumptions!B12*Assumptions!B13)*3600))/Assumptions!B20,0)</f>
        <v/>
      </c>
      <c r="H5" s="28">
        <f>(C5*Assumptions!B8*Assumptions!B26/1024)</f>
        <v/>
      </c>
      <c r="I5" s="28">
        <f>H5</f>
        <v/>
      </c>
    </row>
    <row r="6" ht="15" customHeight="1" s="16">
      <c r="A6" s="23" t="inlineStr">
        <is>
          <t>Month 1</t>
        </is>
      </c>
      <c r="B6" s="28">
        <f>Assumptions!B6*(1+Assumptions!B28)^1</f>
        <v/>
      </c>
      <c r="C6" s="28">
        <f>B6*Assumptions!B7</f>
        <v/>
      </c>
      <c r="D6" s="29">
        <f>(C6/(Assumptions!B12*Assumptions!B13))*(Assumptions!B8/60)</f>
        <v/>
      </c>
      <c r="E6" s="29">
        <f>D6*Assumptions!B14</f>
        <v/>
      </c>
      <c r="F6" s="28">
        <f>ROUNDUP((E6/Assumptions!B18)*(1+Assumptions!B19),0)</f>
        <v/>
      </c>
      <c r="G6" s="28">
        <f>ROUNDUP((B6/((Assumptions!B12*Assumptions!B13)*3600))/Assumptions!B20,0)</f>
        <v/>
      </c>
      <c r="H6" s="28">
        <f>(C6*Assumptions!B8*Assumptions!B26/1024)</f>
        <v/>
      </c>
      <c r="I6" s="28">
        <f>I5+H6</f>
        <v/>
      </c>
    </row>
    <row r="7" ht="15" customHeight="1" s="16">
      <c r="A7" s="23" t="inlineStr">
        <is>
          <t>Month 2</t>
        </is>
      </c>
      <c r="B7" s="28">
        <f>Assumptions!B6*(1+Assumptions!B28)^2</f>
        <v/>
      </c>
      <c r="C7" s="28">
        <f>B7*Assumptions!B7</f>
        <v/>
      </c>
      <c r="D7" s="29">
        <f>(C7/(Assumptions!B12*Assumptions!B13))*(Assumptions!B8/60)</f>
        <v/>
      </c>
      <c r="E7" s="29">
        <f>D7*Assumptions!B14</f>
        <v/>
      </c>
      <c r="F7" s="28">
        <f>ROUNDUP((E7/Assumptions!B18)*(1+Assumptions!B19),0)</f>
        <v/>
      </c>
      <c r="G7" s="28">
        <f>ROUNDUP((B7/((Assumptions!B12*Assumptions!B13)*3600))/Assumptions!B20,0)</f>
        <v/>
      </c>
      <c r="H7" s="28">
        <f>(C7*Assumptions!B8*Assumptions!B26/1024)</f>
        <v/>
      </c>
      <c r="I7" s="28">
        <f>I6+H7</f>
        <v/>
      </c>
    </row>
    <row r="8" ht="15" customHeight="1" s="16">
      <c r="A8" s="23" t="inlineStr">
        <is>
          <t>Month 3</t>
        </is>
      </c>
      <c r="B8" s="28">
        <f>Assumptions!B6*(1+Assumptions!B28)^3</f>
        <v/>
      </c>
      <c r="C8" s="28">
        <f>B8*Assumptions!B7</f>
        <v/>
      </c>
      <c r="D8" s="29">
        <f>(C8/(Assumptions!B12*Assumptions!B13))*(Assumptions!B8/60)</f>
        <v/>
      </c>
      <c r="E8" s="29">
        <f>D8*Assumptions!B14</f>
        <v/>
      </c>
      <c r="F8" s="28">
        <f>ROUNDUP((E8/Assumptions!B18)*(1+Assumptions!B19),0)</f>
        <v/>
      </c>
      <c r="G8" s="28">
        <f>ROUNDUP((B8/((Assumptions!B12*Assumptions!B13)*3600))/Assumptions!B20,0)</f>
        <v/>
      </c>
      <c r="H8" s="28">
        <f>(C8*Assumptions!B8*Assumptions!B26/1024)</f>
        <v/>
      </c>
      <c r="I8" s="28">
        <f>I7+H8</f>
        <v/>
      </c>
    </row>
    <row r="9" ht="15" customHeight="1" s="16">
      <c r="A9" s="23" t="inlineStr">
        <is>
          <t>Month 4</t>
        </is>
      </c>
      <c r="B9" s="28">
        <f>Assumptions!B6*(1+Assumptions!B28)^4</f>
        <v/>
      </c>
      <c r="C9" s="28">
        <f>B9*Assumptions!B7</f>
        <v/>
      </c>
      <c r="D9" s="29">
        <f>(C9/(Assumptions!B12*Assumptions!B13))*(Assumptions!B8/60)</f>
        <v/>
      </c>
      <c r="E9" s="29">
        <f>D9*Assumptions!B14</f>
        <v/>
      </c>
      <c r="F9" s="28">
        <f>ROUNDUP((E9/Assumptions!B18)*(1+Assumptions!B19),0)</f>
        <v/>
      </c>
      <c r="G9" s="28">
        <f>ROUNDUP((B9/((Assumptions!B12*Assumptions!B13)*3600))/Assumptions!B20,0)</f>
        <v/>
      </c>
      <c r="H9" s="28">
        <f>(C9*Assumptions!B8*Assumptions!B26/1024)</f>
        <v/>
      </c>
      <c r="I9" s="28">
        <f>I8+H9</f>
        <v/>
      </c>
    </row>
    <row r="10" ht="15" customHeight="1" s="16">
      <c r="A10" s="23" t="inlineStr">
        <is>
          <t>Month 5</t>
        </is>
      </c>
      <c r="B10" s="28">
        <f>Assumptions!B6*(1+Assumptions!B28)^5</f>
        <v/>
      </c>
      <c r="C10" s="28">
        <f>B10*Assumptions!B7</f>
        <v/>
      </c>
      <c r="D10" s="29">
        <f>(C10/(Assumptions!B12*Assumptions!B13))*(Assumptions!B8/60)</f>
        <v/>
      </c>
      <c r="E10" s="29">
        <f>D10*Assumptions!B14</f>
        <v/>
      </c>
      <c r="F10" s="28">
        <f>ROUNDUP((E10/Assumptions!B18)*(1+Assumptions!B19),0)</f>
        <v/>
      </c>
      <c r="G10" s="28">
        <f>ROUNDUP((B10/((Assumptions!B12*Assumptions!B13)*3600))/Assumptions!B20,0)</f>
        <v/>
      </c>
      <c r="H10" s="28">
        <f>(C10*Assumptions!B8*Assumptions!B26/1024)</f>
        <v/>
      </c>
      <c r="I10" s="28">
        <f>I9+H10</f>
        <v/>
      </c>
    </row>
    <row r="11" ht="15" customHeight="1" s="16">
      <c r="A11" s="23" t="inlineStr">
        <is>
          <t>Month 6</t>
        </is>
      </c>
      <c r="B11" s="28">
        <f>Assumptions!B6*(1+Assumptions!B28)^6</f>
        <v/>
      </c>
      <c r="C11" s="28">
        <f>B11*Assumptions!B7</f>
        <v/>
      </c>
      <c r="D11" s="29">
        <f>(C11/(Assumptions!B12*Assumptions!B13))*(Assumptions!B8/60)</f>
        <v/>
      </c>
      <c r="E11" s="29">
        <f>D11*Assumptions!B14</f>
        <v/>
      </c>
      <c r="F11" s="28">
        <f>ROUNDUP((E11/Assumptions!B18)*(1+Assumptions!B19),0)</f>
        <v/>
      </c>
      <c r="G11" s="28">
        <f>ROUNDUP((B11/((Assumptions!B12*Assumptions!B13)*3600))/Assumptions!B20,0)</f>
        <v/>
      </c>
      <c r="H11" s="28">
        <f>(C11*Assumptions!B8*Assumptions!B26/1024)</f>
        <v/>
      </c>
      <c r="I11" s="28">
        <f>I10+H11</f>
        <v/>
      </c>
    </row>
    <row r="12" ht="15" customHeight="1" s="16">
      <c r="A12" s="23" t="inlineStr">
        <is>
          <t>Month 7</t>
        </is>
      </c>
      <c r="B12" s="28">
        <f>Assumptions!B6*(1+Assumptions!B28)^7</f>
        <v/>
      </c>
      <c r="C12" s="28">
        <f>B12*Assumptions!B7</f>
        <v/>
      </c>
      <c r="D12" s="29">
        <f>(C12/(Assumptions!B12*Assumptions!B13))*(Assumptions!B8/60)</f>
        <v/>
      </c>
      <c r="E12" s="29">
        <f>D12*Assumptions!B14</f>
        <v/>
      </c>
      <c r="F12" s="28">
        <f>ROUNDUP((E12/Assumptions!B18)*(1+Assumptions!B19),0)</f>
        <v/>
      </c>
      <c r="G12" s="28">
        <f>ROUNDUP((B12/((Assumptions!B12*Assumptions!B13)*3600))/Assumptions!B20,0)</f>
        <v/>
      </c>
      <c r="H12" s="28">
        <f>(C12*Assumptions!B8*Assumptions!B26/1024)</f>
        <v/>
      </c>
      <c r="I12" s="28">
        <f>I11+H12</f>
        <v/>
      </c>
    </row>
    <row r="13" ht="15" customHeight="1" s="16">
      <c r="A13" s="23" t="inlineStr">
        <is>
          <t>Month 8</t>
        </is>
      </c>
      <c r="B13" s="28">
        <f>Assumptions!B6*(1+Assumptions!B28)^8</f>
        <v/>
      </c>
      <c r="C13" s="28">
        <f>B13*Assumptions!B7</f>
        <v/>
      </c>
      <c r="D13" s="29">
        <f>(C13/(Assumptions!B12*Assumptions!B13))*(Assumptions!B8/60)</f>
        <v/>
      </c>
      <c r="E13" s="29">
        <f>D13*Assumptions!B14</f>
        <v/>
      </c>
      <c r="F13" s="28">
        <f>ROUNDUP((E13/Assumptions!B18)*(1+Assumptions!B19),0)</f>
        <v/>
      </c>
      <c r="G13" s="28">
        <f>ROUNDUP((B13/((Assumptions!B12*Assumptions!B13)*3600))/Assumptions!B20,0)</f>
        <v/>
      </c>
      <c r="H13" s="28">
        <f>(C13*Assumptions!B8*Assumptions!B26/1024)</f>
        <v/>
      </c>
      <c r="I13" s="28">
        <f>I12+H13</f>
        <v/>
      </c>
    </row>
    <row r="14" ht="15" customHeight="1" s="16">
      <c r="A14" s="23" t="inlineStr">
        <is>
          <t>Month 9</t>
        </is>
      </c>
      <c r="B14" s="28">
        <f>Assumptions!B6*(1+Assumptions!B28)^9</f>
        <v/>
      </c>
      <c r="C14" s="28">
        <f>B14*Assumptions!B7</f>
        <v/>
      </c>
      <c r="D14" s="29">
        <f>(C14/(Assumptions!B12*Assumptions!B13))*(Assumptions!B8/60)</f>
        <v/>
      </c>
      <c r="E14" s="29">
        <f>D14*Assumptions!B14</f>
        <v/>
      </c>
      <c r="F14" s="28">
        <f>ROUNDUP((E14/Assumptions!B18)*(1+Assumptions!B19),0)</f>
        <v/>
      </c>
      <c r="G14" s="28">
        <f>ROUNDUP((B14/((Assumptions!B12*Assumptions!B13)*3600))/Assumptions!B20,0)</f>
        <v/>
      </c>
      <c r="H14" s="28">
        <f>(C14*Assumptions!B8*Assumptions!B26/1024)</f>
        <v/>
      </c>
      <c r="I14" s="28">
        <f>I13+H14</f>
        <v/>
      </c>
    </row>
    <row r="15" ht="15" customHeight="1" s="16">
      <c r="A15" s="23" t="inlineStr">
        <is>
          <t>Month 10</t>
        </is>
      </c>
      <c r="B15" s="28">
        <f>Assumptions!B6*(1+Assumptions!B28)^10</f>
        <v/>
      </c>
      <c r="C15" s="28">
        <f>B15*Assumptions!B7</f>
        <v/>
      </c>
      <c r="D15" s="29">
        <f>(C15/(Assumptions!B12*Assumptions!B13))*(Assumptions!B8/60)</f>
        <v/>
      </c>
      <c r="E15" s="29">
        <f>D15*Assumptions!B14</f>
        <v/>
      </c>
      <c r="F15" s="28">
        <f>ROUNDUP((E15/Assumptions!B18)*(1+Assumptions!B19),0)</f>
        <v/>
      </c>
      <c r="G15" s="28">
        <f>ROUNDUP((B15/((Assumptions!B12*Assumptions!B13)*3600))/Assumptions!B20,0)</f>
        <v/>
      </c>
      <c r="H15" s="28">
        <f>(C15*Assumptions!B8*Assumptions!B26/1024)</f>
        <v/>
      </c>
      <c r="I15" s="28">
        <f>I14+H15</f>
        <v/>
      </c>
    </row>
    <row r="16" ht="15" customHeight="1" s="16">
      <c r="A16" s="23" t="inlineStr">
        <is>
          <t>Month 11</t>
        </is>
      </c>
      <c r="B16" s="28">
        <f>Assumptions!B6*(1+Assumptions!B28)^11</f>
        <v/>
      </c>
      <c r="C16" s="28">
        <f>B16*Assumptions!B7</f>
        <v/>
      </c>
      <c r="D16" s="29">
        <f>(C16/(Assumptions!B12*Assumptions!B13))*(Assumptions!B8/60)</f>
        <v/>
      </c>
      <c r="E16" s="29">
        <f>D16*Assumptions!B14</f>
        <v/>
      </c>
      <c r="F16" s="28">
        <f>ROUNDUP((E16/Assumptions!B18)*(1+Assumptions!B19),0)</f>
        <v/>
      </c>
      <c r="G16" s="28">
        <f>ROUNDUP((B16/((Assumptions!B12*Assumptions!B13)*3600))/Assumptions!B20,0)</f>
        <v/>
      </c>
      <c r="H16" s="28">
        <f>(C16*Assumptions!B8*Assumptions!B26/1024)</f>
        <v/>
      </c>
      <c r="I16" s="28">
        <f>I15+H16</f>
        <v/>
      </c>
    </row>
    <row r="17" ht="15" customHeight="1" s="16">
      <c r="A17" s="23" t="inlineStr">
        <is>
          <t>Month 12</t>
        </is>
      </c>
      <c r="B17" s="28">
        <f>Assumptions!B6*(1+Assumptions!B28)^12</f>
        <v/>
      </c>
      <c r="C17" s="28">
        <f>B17*Assumptions!B7</f>
        <v/>
      </c>
      <c r="D17" s="29">
        <f>(C17/(Assumptions!B12*Assumptions!B13))*(Assumptions!B8/60)</f>
        <v/>
      </c>
      <c r="E17" s="29">
        <f>D17*Assumptions!B14</f>
        <v/>
      </c>
      <c r="F17" s="28">
        <f>ROUNDUP((E17/Assumptions!B18)*(1+Assumptions!B19),0)</f>
        <v/>
      </c>
      <c r="G17" s="28">
        <f>ROUNDUP((B17/((Assumptions!B12*Assumptions!B13)*3600))/Assumptions!B20,0)</f>
        <v/>
      </c>
      <c r="H17" s="28">
        <f>(C17*Assumptions!B8*Assumptions!B26/1024)</f>
        <v/>
      </c>
      <c r="I17" s="28">
        <f>I16+H17</f>
        <v/>
      </c>
    </row>
    <row r="19" ht="30" customHeight="1" s="16">
      <c r="A19" s="30" t="inlineStr">
        <is>
          <t>Note: cumulative storage here reflects total data generated since Month 0 for roadmap visibility. Actual steady-state storage held at any time is capped by the retention period (Assumptions — Retention period), per Capacity Calculation sheet's steady-state figure.</t>
        </is>
      </c>
    </row>
  </sheetData>
  <mergeCells count="1">
    <mergeCell ref="A19:I19"/>
  </mergeCells>
  <conditionalFormatting sqref="F5:F17">
    <cfRule type="colorScale" priority="2">
      <colorScale>
        <cfvo type="min" val="0"/>
        <cfvo type="max" val="0"/>
        <color rgb="FFC6E7D4"/>
        <color rgb="FFF6C6C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2026-09-15T22:12:18Z</dcterms:created>
  <dcterms:modified xmlns:dcterms="http://purl.org/dc/terms/" xmlns:xsi="http://www.w3.org/2001/XMLSchema-instance" xsi:type="dcterms:W3CDTF">2026-09-16T21:09:05Z</dcterms:modified>
  <cp:revision>0</cp:revision>
</cp:coreProperties>
</file>