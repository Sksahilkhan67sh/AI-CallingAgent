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 Calculation" sheetId="2" state="visible" r:id="rId2"/>
    <sheet xmlns:r="http://schemas.openxmlformats.org/officeDocument/2006/relationships" name="Sensitivit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\$0.000"/>
    <numFmt numFmtId="166" formatCode="\$#,##0.00"/>
    <numFmt numFmtId="167" formatCode="\$0.0000"/>
    <numFmt numFmtId="168" formatCode="\$0.00"/>
    <numFmt numFmtId="169" formatCode="\$#,##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6"/>
    </font>
    <font>
      <name val="Arial"/>
      <charset val="1"/>
      <family val="0"/>
      <i val="1"/>
      <color rgb="FF5B657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7E6"/>
        <bgColor rgb="FFFFFFFF"/>
      </patternFill>
    </fill>
    <fill>
      <patternFill patternType="solid">
        <fgColor rgb="FFEAF0FB"/>
        <bgColor rgb="FFFFF7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6" fillId="2" borderId="0" applyAlignment="1" pivotButton="0" quotePrefix="0" xfId="0">
      <alignment horizontal="general" vertical="bottom"/>
    </xf>
    <xf numFmtId="167" fontId="8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169" fontId="7" fillId="4" borderId="1" applyAlignment="1" pivotButton="0" quotePrefix="0" xfId="0">
      <alignment horizontal="general" vertical="bottom"/>
    </xf>
    <xf numFmtId="168" fontId="7" fillId="4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6" fillId="2" borderId="0" applyAlignment="1" pivotButton="0" quotePrefix="0" xfId="0">
      <alignment horizontal="general" vertical="bottom"/>
    </xf>
    <xf numFmtId="167" fontId="8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169" fontId="7" fillId="4" borderId="1" applyAlignment="1" pivotButton="0" quotePrefix="0" xfId="0">
      <alignment horizontal="general" vertical="bottom"/>
    </xf>
    <xf numFmtId="168" fontId="7" fillId="4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14" customWidth="1" style="21" min="2" max="2"/>
    <col width="22" customWidth="1" style="21" min="3" max="3"/>
  </cols>
  <sheetData>
    <row r="1" ht="19.7" customHeight="1" s="22">
      <c r="A1" s="23" t="inlineStr">
        <is>
          <t>AI Calling Agent — Cost Model</t>
        </is>
      </c>
    </row>
    <row r="2" ht="15" customHeight="1" s="22">
      <c r="A2" s="24" t="inlineStr">
        <is>
          <t>Assumptions · v1.0 · All costs in USD unless noted. Edit yellow cells only. This is the project's CANONICAL capacity baseline (see Data-Privacy/Architecture docs) — any illustrative stress-test scenario elsewhere (e.g. Scalable Production Approach §16) is explicitly labelled as non-baseline and must not be read as overriding these figures.</t>
        </is>
      </c>
    </row>
    <row r="4" ht="19.5" customHeight="1" s="22">
      <c r="A4" s="25" t="inlineStr">
        <is>
          <t>Volume &amp; Call Behavior</t>
        </is>
      </c>
      <c r="B4" s="26" t="n"/>
      <c r="C4" s="26" t="n"/>
    </row>
    <row r="5" ht="15" customHeight="1" s="22">
      <c r="A5" s="27" t="inlineStr">
        <is>
          <t>Assumption</t>
        </is>
      </c>
      <c r="B5" s="27" t="inlineStr">
        <is>
          <t>Value</t>
        </is>
      </c>
      <c r="C5" s="27" t="inlineStr">
        <is>
          <t>Unit</t>
        </is>
      </c>
    </row>
    <row r="6" ht="15" customHeight="1" s="22">
      <c r="A6" s="28" t="inlineStr">
        <is>
          <t>Monthly contact volume</t>
        </is>
      </c>
      <c r="B6" s="29" t="n">
        <v>100000</v>
      </c>
      <c r="C6" s="24" t="inlineStr">
        <is>
          <t>contacts</t>
        </is>
      </c>
    </row>
    <row r="7" ht="15" customHeight="1" s="22">
      <c r="A7" s="28" t="inlineStr">
        <is>
          <t>Avg dial attempts per contact (incl. retries)</t>
        </is>
      </c>
      <c r="B7" s="29" t="n">
        <v>1.4</v>
      </c>
      <c r="C7" s="24" t="inlineStr">
        <is>
          <t>attempts</t>
        </is>
      </c>
    </row>
    <row r="8" ht="15" customHeight="1" s="22">
      <c r="A8" s="28" t="inlineStr">
        <is>
          <t>Connect rate (contacts eventually connected)</t>
        </is>
      </c>
      <c r="B8" s="30" t="n">
        <v>0.35</v>
      </c>
      <c r="C8" s="24" t="inlineStr">
        <is>
          <t>% of contacts</t>
        </is>
      </c>
    </row>
    <row r="9" ht="15" customHeight="1" s="22">
      <c r="A9" s="28" t="inlineStr">
        <is>
          <t>Avg connected call duration</t>
        </is>
      </c>
      <c r="B9" s="29" t="n">
        <v>3.5</v>
      </c>
      <c r="C9" s="24" t="inlineStr">
        <is>
          <t>minutes</t>
        </is>
      </c>
    </row>
    <row r="10" ht="15" customHeight="1" s="22">
      <c r="A10" s="28" t="inlineStr">
        <is>
          <t>Disconnect rate (of connected calls)</t>
        </is>
      </c>
      <c r="B10" s="30" t="n">
        <v>0.12</v>
      </c>
      <c r="C10" s="24" t="inlineStr">
        <is>
          <t>% of connected calls</t>
        </is>
      </c>
    </row>
    <row r="11" ht="15" customHeight="1" s="22">
      <c r="A11" s="28" t="inlineStr">
        <is>
          <t>Reconnect success rate (of disconnects)</t>
        </is>
      </c>
      <c r="B11" s="30" t="n">
        <v>0.7</v>
      </c>
      <c r="C11" s="24" t="inlineStr">
        <is>
          <t>% of disconnects</t>
        </is>
      </c>
    </row>
    <row r="12" ht="15" customHeight="1" s="22">
      <c r="A12" s="28" t="inlineStr">
        <is>
          <t>Avg additional minutes per reconnected call</t>
        </is>
      </c>
      <c r="B12" s="29" t="n">
        <v>1.5</v>
      </c>
      <c r="C12" s="24" t="inlineStr">
        <is>
          <t>minutes</t>
        </is>
      </c>
    </row>
    <row r="13" ht="15" customHeight="1" s="22">
      <c r="A13" s="28" t="inlineStr">
        <is>
          <t>Qualified+ lead rate (of connected calls)</t>
        </is>
      </c>
      <c r="B13" s="30" t="n">
        <v>0.3</v>
      </c>
      <c r="C13" s="24" t="inlineStr">
        <is>
          <t>% of connected calls</t>
        </is>
      </c>
    </row>
    <row r="15" ht="19.5" customHeight="1" s="22">
      <c r="A15" s="25" t="inlineStr">
        <is>
          <t>Unit Costs — Telephony &amp; AI Services</t>
        </is>
      </c>
      <c r="B15" s="26" t="n"/>
      <c r="C15" s="26" t="n"/>
    </row>
    <row r="16" ht="15" customHeight="1" s="22">
      <c r="A16" s="27" t="inlineStr">
        <is>
          <t>Assumption</t>
        </is>
      </c>
      <c r="B16" s="27" t="inlineStr">
        <is>
          <t>Value</t>
        </is>
      </c>
      <c r="C16" s="27" t="inlineStr">
        <is>
          <t>Unit</t>
        </is>
      </c>
    </row>
    <row r="17" ht="15" customHeight="1" s="22">
      <c r="A17" s="28" t="inlineStr">
        <is>
          <t>Telephony cost per connected minute</t>
        </is>
      </c>
      <c r="B17" s="31" t="n">
        <v>0.012</v>
      </c>
      <c r="C17" s="24" t="inlineStr">
        <is>
          <t>$/min</t>
        </is>
      </c>
    </row>
    <row r="18" ht="15" customHeight="1" s="22">
      <c r="A18" s="28" t="inlineStr">
        <is>
          <t>Telephony cost per failed dial attempt (ring time)</t>
        </is>
      </c>
      <c r="B18" s="31" t="n">
        <v>0.002</v>
      </c>
      <c r="C18" s="24" t="inlineStr">
        <is>
          <t>$/attempt</t>
        </is>
      </c>
    </row>
    <row r="19" ht="15" customHeight="1" s="22">
      <c r="A19" s="28" t="inlineStr">
        <is>
          <t>Speech-to-text cost per minute</t>
        </is>
      </c>
      <c r="B19" s="31" t="n">
        <v>0.006</v>
      </c>
      <c r="C19" s="24" t="inlineStr">
        <is>
          <t>$/min</t>
        </is>
      </c>
    </row>
    <row r="20" ht="15" customHeight="1" s="22">
      <c r="A20" s="28" t="inlineStr">
        <is>
          <t>Language model cost per minute of conversation</t>
        </is>
      </c>
      <c r="B20" s="31" t="n">
        <v>0.02</v>
      </c>
      <c r="C20" s="24" t="inlineStr">
        <is>
          <t>$/min</t>
        </is>
      </c>
    </row>
    <row r="21" ht="15" customHeight="1" s="22">
      <c r="A21" s="28" t="inlineStr">
        <is>
          <t>Post-call analysis cost per call (flat, LLM-based)</t>
        </is>
      </c>
      <c r="B21" s="31" t="n">
        <v>0.01</v>
      </c>
      <c r="C21" s="24" t="inlineStr">
        <is>
          <t>$/call</t>
        </is>
      </c>
    </row>
    <row r="22" ht="15" customHeight="1" s="22">
      <c r="A22" s="28" t="inlineStr">
        <is>
          <t>Text-to-speech cost per minute</t>
        </is>
      </c>
      <c r="B22" s="31" t="n">
        <v>0.008</v>
      </c>
      <c r="C22" s="24" t="inlineStr">
        <is>
          <t>$/min</t>
        </is>
      </c>
    </row>
    <row r="24" ht="19.5" customHeight="1" s="22">
      <c r="A24" s="25" t="inlineStr">
        <is>
          <t>Infrastructure &amp; Storage</t>
        </is>
      </c>
      <c r="B24" s="26" t="n"/>
      <c r="C24" s="26" t="n"/>
    </row>
    <row r="25" ht="15" customHeight="1" s="22">
      <c r="A25" s="27" t="inlineStr">
        <is>
          <t>Assumption</t>
        </is>
      </c>
      <c r="B25" s="27" t="inlineStr">
        <is>
          <t>Value</t>
        </is>
      </c>
      <c r="C25" s="27" t="inlineStr">
        <is>
          <t>Unit</t>
        </is>
      </c>
    </row>
    <row r="26" ht="15" customHeight="1" s="22">
      <c r="A26" s="28" t="inlineStr">
        <is>
          <t>Orchestrator compute cost per call-hour</t>
        </is>
      </c>
      <c r="B26" s="31" t="n">
        <v>0.9</v>
      </c>
      <c r="C26" s="24" t="inlineStr">
        <is>
          <t>$/call-hour</t>
        </is>
      </c>
    </row>
    <row r="27" ht="15" customHeight="1" s="22">
      <c r="A27" s="28" t="inlineStr">
        <is>
          <t>Recording storage cost per GB-month</t>
        </is>
      </c>
      <c r="B27" s="31" t="n">
        <v>0.02</v>
      </c>
      <c r="C27" s="24" t="inlineStr">
        <is>
          <t>$/GB-month</t>
        </is>
      </c>
    </row>
    <row r="28" ht="15" customHeight="1" s="22">
      <c r="A28" s="28" t="inlineStr">
        <is>
          <t>Avg recording size per minute of audio</t>
        </is>
      </c>
      <c r="B28" s="29" t="n">
        <v>1</v>
      </c>
      <c r="C28" s="24" t="inlineStr">
        <is>
          <t>MB/min</t>
        </is>
      </c>
    </row>
    <row r="29" ht="15" customHeight="1" s="22">
      <c r="A29" s="28" t="inlineStr">
        <is>
          <t>Recording/transcript retention period</t>
        </is>
      </c>
      <c r="B29" s="29" t="n">
        <v>6</v>
      </c>
      <c r="C29" s="24" t="inlineStr">
        <is>
          <t>months</t>
        </is>
      </c>
    </row>
    <row r="30" ht="15" customHeight="1" s="22">
      <c r="A30" s="28" t="inlineStr">
        <is>
          <t>Platform overhead (data layer, dashboard, misc.)</t>
        </is>
      </c>
      <c r="B30" s="30" t="n">
        <v>0.08</v>
      </c>
      <c r="C30" s="24" t="inlineStr">
        <is>
          <t>% of subtotal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21" min="1" max="1"/>
    <col width="16" customWidth="1" style="21" min="2" max="2"/>
    <col width="40" customWidth="1" style="21" min="3" max="3"/>
  </cols>
  <sheetData>
    <row r="1" ht="19.7" customHeight="1" s="22">
      <c r="A1" s="23" t="inlineStr">
        <is>
          <t>Monthly Cost Calculation</t>
        </is>
      </c>
    </row>
    <row r="2" ht="15" customHeight="1" s="22">
      <c r="A2" s="24" t="inlineStr">
        <is>
          <t>All formulas reference the Assumptions sheet — change assumptions there, this sheet recalculates.</t>
        </is>
      </c>
    </row>
    <row r="4" ht="19.5" customHeight="1" s="22">
      <c r="A4" s="25" t="inlineStr">
        <is>
          <t>Call Volume Derivation</t>
        </is>
      </c>
      <c r="B4" s="26" t="n"/>
      <c r="C4" s="26" t="n"/>
    </row>
    <row r="5" ht="15" customHeight="1" s="22">
      <c r="A5" s="27" t="inlineStr">
        <is>
          <t>Metric</t>
        </is>
      </c>
      <c r="B5" s="27" t="inlineStr">
        <is>
          <t>Value</t>
        </is>
      </c>
      <c r="C5" s="27" t="inlineStr">
        <is>
          <t>Formula reference</t>
        </is>
      </c>
    </row>
    <row r="6" ht="15" customHeight="1" s="22">
      <c r="A6" s="28" t="inlineStr">
        <is>
          <t>Total dial attempts</t>
        </is>
      </c>
      <c r="B6" s="32">
        <f>Assumptions!B6*Assumptions!B7</f>
        <v/>
      </c>
      <c r="C6" s="24" t="inlineStr">
        <is>
          <t>Contacts x avg attempts/contact</t>
        </is>
      </c>
    </row>
    <row r="7" ht="15" customHeight="1" s="22">
      <c r="A7" s="28" t="inlineStr">
        <is>
          <t>Connected calls</t>
        </is>
      </c>
      <c r="B7" s="32">
        <f>Assumptions!B6*Assumptions!B8</f>
        <v/>
      </c>
      <c r="C7" s="24" t="inlineStr">
        <is>
          <t>Contacts x connect rate</t>
        </is>
      </c>
    </row>
    <row r="8" ht="15" customHeight="1" s="22">
      <c r="A8" s="28" t="inlineStr">
        <is>
          <t>Failed dial attempts</t>
        </is>
      </c>
      <c r="B8" s="32">
        <f>B6-B7</f>
        <v/>
      </c>
      <c r="C8" s="24" t="inlineStr">
        <is>
          <t>Total attempts - connected calls</t>
        </is>
      </c>
    </row>
    <row r="9" ht="15" customHeight="1" s="22">
      <c r="A9" s="28" t="inlineStr">
        <is>
          <t>Disconnected calls (mid-conversation)</t>
        </is>
      </c>
      <c r="B9" s="32">
        <f>B7*Assumptions!B10</f>
        <v/>
      </c>
      <c r="C9" s="24" t="inlineStr">
        <is>
          <t>Connected calls x disconnect rate</t>
        </is>
      </c>
    </row>
    <row r="10" ht="15" customHeight="1" s="22">
      <c r="A10" s="28" t="inlineStr">
        <is>
          <t>Successfully reconnected calls</t>
        </is>
      </c>
      <c r="B10" s="32">
        <f>B9*Assumptions!B11</f>
        <v/>
      </c>
      <c r="C10" s="24" t="inlineStr">
        <is>
          <t>Disconnected x reconnect success rate</t>
        </is>
      </c>
    </row>
    <row r="11" ht="15" customHeight="1" s="22">
      <c r="A11" s="28" t="inlineStr">
        <is>
          <t>Estimated qualified+ leads</t>
        </is>
      </c>
      <c r="B11" s="32">
        <f>B7*Assumptions!B13</f>
        <v/>
      </c>
      <c r="C11" s="24" t="inlineStr">
        <is>
          <t>Connected calls x qualified+ rate</t>
        </is>
      </c>
    </row>
    <row r="13" ht="19.5" customHeight="1" s="22">
      <c r="A13" s="25" t="inlineStr">
        <is>
          <t>Conversation Minutes</t>
        </is>
      </c>
      <c r="B13" s="26" t="n"/>
      <c r="C13" s="26" t="n"/>
    </row>
    <row r="14" ht="15" customHeight="1" s="22">
      <c r="A14" s="27" t="inlineStr">
        <is>
          <t>Metric</t>
        </is>
      </c>
      <c r="B14" s="27" t="inlineStr">
        <is>
          <t>Value</t>
        </is>
      </c>
      <c r="C14" s="27" t="inlineStr">
        <is>
          <t>Formula reference</t>
        </is>
      </c>
    </row>
    <row r="15" ht="15" customHeight="1" s="22">
      <c r="A15" s="28" t="inlineStr">
        <is>
          <t>Base conversation minutes</t>
        </is>
      </c>
      <c r="B15" s="32">
        <f>B7*Assumptions!B9</f>
        <v/>
      </c>
      <c r="C15" s="24" t="inlineStr">
        <is>
          <t>Connected calls x avg duration</t>
        </is>
      </c>
    </row>
    <row r="16" ht="15" customHeight="1" s="22">
      <c r="A16" s="28" t="inlineStr">
        <is>
          <t>Reconnect-resumed minutes</t>
        </is>
      </c>
      <c r="B16" s="32">
        <f>B10*Assumptions!B12</f>
        <v/>
      </c>
      <c r="C16" s="24" t="inlineStr">
        <is>
          <t>Reconnected calls x avg extra minutes</t>
        </is>
      </c>
    </row>
    <row r="17" ht="15" customHeight="1" s="22">
      <c r="A17" s="28" t="inlineStr">
        <is>
          <t>Total conversation minutes</t>
        </is>
      </c>
      <c r="B17" s="32">
        <f>B15+B16</f>
        <v/>
      </c>
      <c r="C17" s="24" t="inlineStr">
        <is>
          <t>Base + reconnect-resumed minutes</t>
        </is>
      </c>
    </row>
    <row r="19" ht="19.5" customHeight="1" s="22">
      <c r="A19" s="25" t="inlineStr">
        <is>
          <t>Monthly Cost by Category</t>
        </is>
      </c>
      <c r="B19" s="26" t="n"/>
      <c r="C19" s="26" t="n"/>
    </row>
    <row r="20" ht="26.85" customHeight="1" s="22">
      <c r="A20" s="27" t="inlineStr">
        <is>
          <t>Cost category</t>
        </is>
      </c>
      <c r="B20" s="27" t="inlineStr">
        <is>
          <t>Monthly cost ($)</t>
        </is>
      </c>
      <c r="C20" s="27" t="inlineStr">
        <is>
          <t>Formula reference</t>
        </is>
      </c>
    </row>
    <row r="21" ht="15" customHeight="1" s="22">
      <c r="A21" s="28" t="inlineStr">
        <is>
          <t>Telephony - connected minutes</t>
        </is>
      </c>
      <c r="B21" s="33">
        <f>B17*Assumptions!B17</f>
        <v/>
      </c>
      <c r="C21" s="24" t="inlineStr">
        <is>
          <t>Total minutes x telephony $/min</t>
        </is>
      </c>
    </row>
    <row r="22" ht="15" customHeight="1" s="22">
      <c r="A22" s="28" t="inlineStr">
        <is>
          <t>Telephony - failed dial attempts</t>
        </is>
      </c>
      <c r="B22" s="33">
        <f>B8*Assumptions!B18</f>
        <v/>
      </c>
      <c r="C22" s="24" t="inlineStr">
        <is>
          <t>Failed attempts x $/attempt</t>
        </is>
      </c>
    </row>
    <row r="23" ht="15" customHeight="1" s="22">
      <c r="A23" s="28" t="inlineStr">
        <is>
          <t>Speech-to-text</t>
        </is>
      </c>
      <c r="B23" s="33">
        <f>B17*Assumptions!B19</f>
        <v/>
      </c>
      <c r="C23" s="24" t="inlineStr">
        <is>
          <t>Total minutes x STT $/min</t>
        </is>
      </c>
    </row>
    <row r="24" ht="15" customHeight="1" s="22">
      <c r="A24" s="28" t="inlineStr">
        <is>
          <t>Language model - conversation</t>
        </is>
      </c>
      <c r="B24" s="33">
        <f>B17*Assumptions!B20</f>
        <v/>
      </c>
      <c r="C24" s="24" t="inlineStr">
        <is>
          <t>Total minutes x LLM $/min</t>
        </is>
      </c>
    </row>
    <row r="25" ht="15" customHeight="1" s="22">
      <c r="A25" s="28" t="inlineStr">
        <is>
          <t>Language model - post-call analysis</t>
        </is>
      </c>
      <c r="B25" s="33">
        <f>B7*Assumptions!B21</f>
        <v/>
      </c>
      <c r="C25" s="24" t="inlineStr">
        <is>
          <t>Connected calls x analysis $/call</t>
        </is>
      </c>
    </row>
    <row r="26" ht="15" customHeight="1" s="22">
      <c r="A26" s="28" t="inlineStr">
        <is>
          <t>Text-to-speech</t>
        </is>
      </c>
      <c r="B26" s="33">
        <f>B17*Assumptions!B22</f>
        <v/>
      </c>
      <c r="C26" s="24" t="inlineStr">
        <is>
          <t>Total minutes x TTS $/min</t>
        </is>
      </c>
    </row>
    <row r="27" ht="15" customHeight="1" s="22">
      <c r="A27" s="28" t="inlineStr">
        <is>
          <t>Orchestrator compute</t>
        </is>
      </c>
      <c r="B27" s="33">
        <f>(B17/60)*Assumptions!B26</f>
        <v/>
      </c>
      <c r="C27" s="24" t="inlineStr">
        <is>
          <t>Total call-hours x compute $/call-hour</t>
        </is>
      </c>
    </row>
    <row r="28" ht="15" customHeight="1" s="22">
      <c r="A28" s="28" t="inlineStr">
        <is>
          <t>Recording storage (this month's cohort, full retention)</t>
        </is>
      </c>
      <c r="B28" s="33">
        <f>(B17*Assumptions!B28/1024)*Assumptions!B27*Assumptions!B29</f>
        <v/>
      </c>
      <c r="C28" s="24" t="inlineStr">
        <is>
          <t>GB generated x $/GB-month x retention months</t>
        </is>
      </c>
    </row>
    <row r="30" ht="15" customHeight="1" s="22">
      <c r="A30" s="34" t="inlineStr">
        <is>
          <t>Subtotal (before overhead)</t>
        </is>
      </c>
      <c r="B30" s="33">
        <f>SUM(B21:B28)</f>
        <v/>
      </c>
    </row>
    <row r="31" ht="15" customHeight="1" s="22">
      <c r="A31" s="28" t="inlineStr">
        <is>
          <t>Platform overhead</t>
        </is>
      </c>
      <c r="B31" s="33">
        <f>B30*Assumptions!B30</f>
        <v/>
      </c>
      <c r="C31" s="24" t="inlineStr">
        <is>
          <t>Subtotal x overhead %</t>
        </is>
      </c>
    </row>
    <row r="32" ht="15" customHeight="1" s="22">
      <c r="A32" s="25" t="inlineStr">
        <is>
          <t>TOTAL MONTHLY COST</t>
        </is>
      </c>
      <c r="B32" s="35">
        <f>B30+B31</f>
        <v/>
      </c>
      <c r="C32" s="26" t="n"/>
    </row>
    <row r="34" ht="19.5" customHeight="1" s="22">
      <c r="A34" s="25" t="inlineStr">
        <is>
          <t>Unit Economics</t>
        </is>
      </c>
      <c r="B34" s="26" t="n"/>
      <c r="C34" s="26" t="n"/>
    </row>
    <row r="35" ht="15" customHeight="1" s="22">
      <c r="A35" s="27" t="inlineStr">
        <is>
          <t>Metric</t>
        </is>
      </c>
      <c r="B35" s="27" t="inlineStr">
        <is>
          <t>Value</t>
        </is>
      </c>
      <c r="C35" s="27" t="inlineStr">
        <is>
          <t>Formula reference</t>
        </is>
      </c>
    </row>
    <row r="36" ht="15" customHeight="1" s="22">
      <c r="A36" s="28" t="inlineStr">
        <is>
          <t>Cost per contact (all contacts)</t>
        </is>
      </c>
      <c r="B36" s="36">
        <f>B32/Assumptions!B6</f>
        <v/>
      </c>
      <c r="C36" s="24" t="inlineStr">
        <is>
          <t>Total cost / monthly contacts</t>
        </is>
      </c>
    </row>
    <row r="37" ht="15" customHeight="1" s="22">
      <c r="A37" s="28" t="inlineStr">
        <is>
          <t>Cost per connected call</t>
        </is>
      </c>
      <c r="B37" s="36">
        <f>B32/B7</f>
        <v/>
      </c>
      <c r="C37" s="24" t="inlineStr">
        <is>
          <t>Total cost / connected calls</t>
        </is>
      </c>
    </row>
    <row r="38" ht="15" customHeight="1" s="22">
      <c r="A38" s="28" t="inlineStr">
        <is>
          <t>Cost per qualified+ lead</t>
        </is>
      </c>
      <c r="B38" s="37">
        <f>B32/B11</f>
        <v/>
      </c>
      <c r="C38" s="24" t="inlineStr">
        <is>
          <t>Total cost / estimated qualified+ leads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1" min="1" max="1"/>
    <col width="18" customWidth="1" style="21" min="2" max="8"/>
  </cols>
  <sheetData>
    <row r="1" ht="19.7" customHeight="1" s="22">
      <c r="A1" s="23" t="inlineStr">
        <is>
          <t>Sensitivity Analysis</t>
        </is>
      </c>
    </row>
    <row r="2" ht="15" customHeight="1" s="22">
      <c r="A2" s="24" t="inlineStr">
        <is>
          <t>Each row recomputes the full model at a different volume or connect rate, holding all other Assumptions fixed.</t>
        </is>
      </c>
    </row>
    <row r="4" ht="19.5" customHeight="1" s="22">
      <c r="A4" s="25" t="inlineStr">
        <is>
          <t>Scenario 1 - Monthly Contact Volume</t>
        </is>
      </c>
      <c r="B4" s="26" t="n"/>
      <c r="C4" s="26" t="n"/>
      <c r="D4" s="26" t="n"/>
      <c r="E4" s="26" t="n"/>
      <c r="F4" s="26" t="n"/>
      <c r="G4" s="26" t="n"/>
      <c r="H4" s="26" t="n"/>
    </row>
    <row r="5" ht="26.85" customHeight="1" s="22">
      <c r="A5" s="27" t="inlineStr">
        <is>
          <t>Volume</t>
        </is>
      </c>
      <c r="B5" s="27" t="inlineStr">
        <is>
          <t>Connected Calls</t>
        </is>
      </c>
      <c r="C5" s="27" t="inlineStr">
        <is>
          <t>Total Minutes</t>
        </is>
      </c>
      <c r="D5" s="27" t="inlineStr">
        <is>
          <t>Telephony+STT+TTS ($)</t>
        </is>
      </c>
      <c r="E5" s="27" t="inlineStr">
        <is>
          <t>LLM ($)</t>
        </is>
      </c>
      <c r="F5" s="27" t="inlineStr">
        <is>
          <t>Compute+Storage ($)</t>
        </is>
      </c>
      <c r="G5" s="27" t="inlineStr">
        <is>
          <t>Total Cost ($)</t>
        </is>
      </c>
      <c r="H5" s="27" t="inlineStr">
        <is>
          <t>Cost / Qualified Lead ($)</t>
        </is>
      </c>
    </row>
    <row r="6" ht="15" customHeight="1" s="22">
      <c r="A6" s="38" t="n">
        <v>50000</v>
      </c>
      <c r="B6" s="39">
        <f>A6*Assumptions!B8</f>
        <v/>
      </c>
      <c r="C6" s="39">
        <f>B6*Assumptions!B9+B6*Assumptions!B10*Assumptions!B11*Assumptions!B12</f>
        <v/>
      </c>
      <c r="D6" s="40">
        <f>C6*(Assumptions!B17+Assumptions!B19+Assumptions!B22)+(A6*Assumptions!B7-B6)*Assumptions!B18</f>
        <v/>
      </c>
      <c r="E6" s="40">
        <f>C6*Assumptions!B20+B6*Assumptions!B21</f>
        <v/>
      </c>
      <c r="F6" s="40">
        <f>(C6/60)*Assumptions!B26+(C6*Assumptions!B28/1024)*Assumptions!B27*Assumptions!B29</f>
        <v/>
      </c>
      <c r="G6" s="40">
        <f>(D6+E6+F6)*(1+Assumptions!B30)</f>
        <v/>
      </c>
      <c r="H6" s="41">
        <f>G6/(B6*Assumptions!B13)</f>
        <v/>
      </c>
    </row>
    <row r="7" ht="15" customHeight="1" s="22">
      <c r="A7" s="38" t="n">
        <v>100000</v>
      </c>
      <c r="B7" s="39">
        <f>A7*Assumptions!B8</f>
        <v/>
      </c>
      <c r="C7" s="39">
        <f>B7*Assumptions!B9+B7*Assumptions!B10*Assumptions!B11*Assumptions!B12</f>
        <v/>
      </c>
      <c r="D7" s="40">
        <f>C7*(Assumptions!B17+Assumptions!B19+Assumptions!B22)+(A7*Assumptions!B7-B7)*Assumptions!B18</f>
        <v/>
      </c>
      <c r="E7" s="40">
        <f>C7*Assumptions!B20+B7*Assumptions!B21</f>
        <v/>
      </c>
      <c r="F7" s="40">
        <f>(C7/60)*Assumptions!B26+(C7*Assumptions!B28/1024)*Assumptions!B27*Assumptions!B29</f>
        <v/>
      </c>
      <c r="G7" s="40">
        <f>(D7+E7+F7)*(1+Assumptions!B30)</f>
        <v/>
      </c>
      <c r="H7" s="41">
        <f>G7/(B7*Assumptions!B13)</f>
        <v/>
      </c>
    </row>
    <row r="8" ht="15" customHeight="1" s="22">
      <c r="A8" s="38" t="n">
        <v>200000</v>
      </c>
      <c r="B8" s="39">
        <f>A8*Assumptions!B8</f>
        <v/>
      </c>
      <c r="C8" s="39">
        <f>B8*Assumptions!B9+B8*Assumptions!B10*Assumptions!B11*Assumptions!B12</f>
        <v/>
      </c>
      <c r="D8" s="40">
        <f>C8*(Assumptions!B17+Assumptions!B19+Assumptions!B22)+(A8*Assumptions!B7-B8)*Assumptions!B18</f>
        <v/>
      </c>
      <c r="E8" s="40">
        <f>C8*Assumptions!B20+B8*Assumptions!B21</f>
        <v/>
      </c>
      <c r="F8" s="40">
        <f>(C8/60)*Assumptions!B26+(C8*Assumptions!B28/1024)*Assumptions!B27*Assumptions!B29</f>
        <v/>
      </c>
      <c r="G8" s="40">
        <f>(D8+E8+F8)*(1+Assumptions!B30)</f>
        <v/>
      </c>
      <c r="H8" s="41">
        <f>G8/(B8*Assumptions!B13)</f>
        <v/>
      </c>
    </row>
    <row r="9" ht="15" customHeight="1" s="22">
      <c r="A9" s="38" t="n">
        <v>500000</v>
      </c>
      <c r="B9" s="39">
        <f>A9*Assumptions!B8</f>
        <v/>
      </c>
      <c r="C9" s="39">
        <f>B9*Assumptions!B9+B9*Assumptions!B10*Assumptions!B11*Assumptions!B12</f>
        <v/>
      </c>
      <c r="D9" s="40">
        <f>C9*(Assumptions!B17+Assumptions!B19+Assumptions!B22)+(A9*Assumptions!B7-B9)*Assumptions!B18</f>
        <v/>
      </c>
      <c r="E9" s="40">
        <f>C9*Assumptions!B20+B9*Assumptions!B21</f>
        <v/>
      </c>
      <c r="F9" s="40">
        <f>(C9/60)*Assumptions!B26+(C9*Assumptions!B28/1024)*Assumptions!B27*Assumptions!B29</f>
        <v/>
      </c>
      <c r="G9" s="40">
        <f>(D9+E9+F9)*(1+Assumptions!B30)</f>
        <v/>
      </c>
      <c r="H9" s="41">
        <f>G9/(B9*Assumptions!B13)</f>
        <v/>
      </c>
    </row>
    <row r="12" ht="19.5" customHeight="1" s="22">
      <c r="A12" s="25" t="inlineStr">
        <is>
          <t>Scenario 2 - Connect Rate (Volume fixed at 100,000)</t>
        </is>
      </c>
      <c r="B12" s="26" t="n"/>
      <c r="C12" s="26" t="n"/>
      <c r="D12" s="26" t="n"/>
      <c r="E12" s="26" t="n"/>
      <c r="F12" s="26" t="n"/>
      <c r="G12" s="26" t="n"/>
      <c r="H12" s="26" t="n"/>
    </row>
    <row r="13" ht="26.85" customHeight="1" s="22">
      <c r="A13" s="27" t="inlineStr">
        <is>
          <t>Connect Rate</t>
        </is>
      </c>
      <c r="B13" s="27" t="inlineStr">
        <is>
          <t>Connected Calls</t>
        </is>
      </c>
      <c r="C13" s="27" t="inlineStr">
        <is>
          <t>Total Minutes</t>
        </is>
      </c>
      <c r="D13" s="27" t="inlineStr">
        <is>
          <t>Telephony+STT+TTS ($)</t>
        </is>
      </c>
      <c r="E13" s="27" t="inlineStr">
        <is>
          <t>LLM ($)</t>
        </is>
      </c>
      <c r="F13" s="27" t="inlineStr">
        <is>
          <t>Compute+Storage ($)</t>
        </is>
      </c>
      <c r="G13" s="27" t="inlineStr">
        <is>
          <t>Total Cost ($)</t>
        </is>
      </c>
      <c r="H13" s="27" t="inlineStr">
        <is>
          <t>Cost / Qualified Lead ($)</t>
        </is>
      </c>
    </row>
    <row r="14" ht="15" customHeight="1" s="22">
      <c r="A14" s="42" t="n">
        <v>0.25</v>
      </c>
      <c r="B14" s="39">
        <f>100000*A14</f>
        <v/>
      </c>
      <c r="C14" s="39">
        <f>B14*Assumptions!B9+B14*Assumptions!B10*Assumptions!B11*Assumptions!B12</f>
        <v/>
      </c>
      <c r="D14" s="40">
        <f>C14*(Assumptions!B17+Assumptions!B19+Assumptions!B22)+(100000*Assumptions!B7-B14)*Assumptions!B18</f>
        <v/>
      </c>
      <c r="E14" s="40">
        <f>C14*Assumptions!B20+B14*Assumptions!B21</f>
        <v/>
      </c>
      <c r="F14" s="40">
        <f>(C14/60)*Assumptions!B26+(C14*Assumptions!B28/1024)*Assumptions!B27*Assumptions!B29</f>
        <v/>
      </c>
      <c r="G14" s="40">
        <f>(D14+E14+F14)*(1+Assumptions!B30)</f>
        <v/>
      </c>
      <c r="H14" s="41">
        <f>G14/(B14*Assumptions!B13)</f>
        <v/>
      </c>
    </row>
    <row r="15" ht="15" customHeight="1" s="22">
      <c r="A15" s="42" t="n">
        <v>0.35</v>
      </c>
      <c r="B15" s="39">
        <f>100000*A15</f>
        <v/>
      </c>
      <c r="C15" s="39">
        <f>B15*Assumptions!B9+B15*Assumptions!B10*Assumptions!B11*Assumptions!B12</f>
        <v/>
      </c>
      <c r="D15" s="40">
        <f>C15*(Assumptions!B17+Assumptions!B19+Assumptions!B22)+(100000*Assumptions!B7-B15)*Assumptions!B18</f>
        <v/>
      </c>
      <c r="E15" s="40">
        <f>C15*Assumptions!B20+B15*Assumptions!B21</f>
        <v/>
      </c>
      <c r="F15" s="40">
        <f>(C15/60)*Assumptions!B26+(C15*Assumptions!B28/1024)*Assumptions!B27*Assumptions!B29</f>
        <v/>
      </c>
      <c r="G15" s="40">
        <f>(D15+E15+F15)*(1+Assumptions!B30)</f>
        <v/>
      </c>
      <c r="H15" s="41">
        <f>G15/(B15*Assumptions!B13)</f>
        <v/>
      </c>
    </row>
    <row r="16" ht="15" customHeight="1" s="22">
      <c r="A16" s="42" t="n">
        <v>0.45</v>
      </c>
      <c r="B16" s="39">
        <f>100000*A16</f>
        <v/>
      </c>
      <c r="C16" s="39">
        <f>B16*Assumptions!B9+B16*Assumptions!B10*Assumptions!B11*Assumptions!B12</f>
        <v/>
      </c>
      <c r="D16" s="40">
        <f>C16*(Assumptions!B17+Assumptions!B19+Assumptions!B22)+(100000*Assumptions!B7-B16)*Assumptions!B18</f>
        <v/>
      </c>
      <c r="E16" s="40">
        <f>C16*Assumptions!B20+B16*Assumptions!B21</f>
        <v/>
      </c>
      <c r="F16" s="40">
        <f>(C16/60)*Assumptions!B26+(C16*Assumptions!B28/1024)*Assumptions!B27*Assumptions!B29</f>
        <v/>
      </c>
      <c r="G16" s="40">
        <f>(D16+E16+F16)*(1+Assumptions!B30)</f>
        <v/>
      </c>
      <c r="H16" s="41">
        <f>G16/(B16*Assumptions!B13)</f>
        <v/>
      </c>
    </row>
    <row r="17" ht="15" customHeight="1" s="22">
      <c r="A17" s="42" t="n">
        <v>0.55</v>
      </c>
      <c r="B17" s="39">
        <f>100000*A17</f>
        <v/>
      </c>
      <c r="C17" s="39">
        <f>B17*Assumptions!B9+B17*Assumptions!B10*Assumptions!B11*Assumptions!B12</f>
        <v/>
      </c>
      <c r="D17" s="40">
        <f>C17*(Assumptions!B17+Assumptions!B19+Assumptions!B22)+(100000*Assumptions!B7-B17)*Assumptions!B18</f>
        <v/>
      </c>
      <c r="E17" s="40">
        <f>C17*Assumptions!B20+B17*Assumptions!B21</f>
        <v/>
      </c>
      <c r="F17" s="40">
        <f>(C17/60)*Assumptions!B26+(C17*Assumptions!B28/1024)*Assumptions!B27*Assumptions!B29</f>
        <v/>
      </c>
      <c r="G17" s="40">
        <f>(D17+E17+F17)*(1+Assumptions!B30)</f>
        <v/>
      </c>
      <c r="H17" s="41">
        <f>G17/(B17*Assumptions!B13)</f>
        <v/>
      </c>
    </row>
  </sheetData>
  <conditionalFormatting sqref="G6:G9">
    <cfRule type="colorScale" priority="2">
      <colorScale>
        <cfvo type="min" val="0"/>
        <cfvo type="max" val="0"/>
        <color rgb="FFC6E7D4"/>
        <color rgb="FFF6C6C0"/>
      </colorScale>
    </cfRule>
  </conditionalFormatting>
  <conditionalFormatting sqref="G14:G17">
    <cfRule type="colorScale" priority="3">
      <colorScale>
        <cfvo type="min" val="0"/>
        <cfvo type="max" val="0"/>
        <color rgb="FFC6E7D4"/>
        <color rgb="FFF6C6C0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2026-09-15T12:00:33Z</dcterms:created>
  <dcterms:modified xmlns:dcterms="http://purl.org/dc/terms/" xmlns:xsi="http://www.w3.org/2001/XMLSchema-instance" xsi:type="dcterms:W3CDTF">2026-09-16T21:09:05Z</dcterms:modified>
  <cp:revision>0</cp:revision>
</cp:coreProperties>
</file>